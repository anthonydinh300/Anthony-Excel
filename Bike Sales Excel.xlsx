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ntho\Downloads\"/>
    </mc:Choice>
  </mc:AlternateContent>
  <xr:revisionPtr revIDLastSave="0" documentId="8_{D5833434-09EF-432A-AEBD-5D9BAA300FC3}" xr6:coauthVersionLast="47" xr6:coauthVersionMax="47" xr10:uidLastSave="{00000000-0000-0000-0000-000000000000}"/>
  <bookViews>
    <workbookView xWindow="-120" yWindow="-120" windowWidth="29040" windowHeight="15720" activeTab="2" xr2:uid="{00000000-000D-0000-FFFF-FFFF00000000}"/>
  </bookViews>
  <sheets>
    <sheet name="Bike Sales" sheetId="1" r:id="rId1"/>
    <sheet name="Bike Sales(Cleaned Version)" sheetId="4" r:id="rId2"/>
    <sheet name="Pivot Tables" sheetId="3" r:id="rId3"/>
    <sheet name="Final Dashboard" sheetId="2" r:id="rId4"/>
  </sheets>
  <definedNames>
    <definedName name="_xlnm._FilterDatabase" localSheetId="0" hidden="1">'Bike Sales'!$A$1:$M$1001</definedName>
    <definedName name="_xlnm._FilterDatabase" localSheetId="1" hidden="1">'Bike Sales(Cleaned Version)'!$A$1:$N$1001</definedName>
    <definedName name="Slicer_Car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<sst xmlns="http://schemas.openxmlformats.org/spreadsheetml/2006/main" count="16267" uniqueCount="51">
  <si>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</si>
  <si>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</si>
  <si>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</si>
  <si>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</si>
  <si>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</si>
  <si>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</si>
  <si>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</si>
  <si>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</si>
  <si>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</si>
  <si>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</si>
  <si>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</si>
  <si>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</si>
  <si>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</si>
  <si>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</si>
  <si>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</si>
  <si>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</si>
  <si>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</si>
  <si>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</si>
  <si>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</si>
  <si>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</si>
  <si>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</si>
  <si>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</si>
  <si>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</si>
  <si>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</si>
  <si>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</si>
  <si>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</si>
  <si>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</si>
  <si>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</si>
  <si>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</si>
  <si>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</si>
  <si>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</si>
  <si>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</si>
  <si>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</si>
  <si>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</si>
  <si>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</si>
  <si>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</si>
  <si>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</si>
  <si>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</si>
  <si>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</si>
  <si>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</si>
  <si>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</si>
  <si>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</si>
  <si>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</si>
  <si>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</si>
  <si>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</si>
  <si>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</si>
  <si>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</si>
  <si>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 0-30</t>
  </si>
  <si>
    <t>Middle Age 31-54</t>
  </si>
  <si>
    <t>Old 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</si>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</sst>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0-06E0-4C2C-9A3B-43F7EEA0F04E}"/>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1-06E0-4C2C-9A3B-43F7EEA0F04E}"/>
            </c:ext>
          </c:extLst>
        </c:ser>
        <c:dLbls>
          <c:showLegendKey val="0"/>
          <c:showVal val="0"/>
          <c:showCatName val="0"/>
          <c:showSerName val="0"/>
          <c:showPercent val="0"/>
          <c:showBubbleSize val="0"/>
        </c:dLbls>
        <c:gapWidth val="219"/>
        <c:overlap val="-27"/>
        <c:axId val="196863712"/>
        <c:axId val="196864128"/>
      </c:barChart>
      <c:catAx>
        <c:axId val="19686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4128"/>
        <c:crosses val="autoZero"/>
        <c:auto val="1"/>
        <c:lblAlgn val="ctr"/>
        <c:lblOffset val="100"/>
        <c:noMultiLvlLbl val="0"/>
      </c:catAx>
      <c:valAx>
        <c:axId val="19686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3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22-4C96-9FA5-C094F9658649}"/>
            </c:ext>
          </c:extLst>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22-4C96-9FA5-C094F9658649}"/>
            </c:ext>
          </c:extLst>
        </c:ser>
        <c:dLbls>
          <c:showLegendKey val="0"/>
          <c:showVal val="0"/>
          <c:showCatName val="0"/>
          <c:showSerName val="0"/>
          <c:showPercent val="0"/>
          <c:showBubbleSize val="0"/>
        </c:dLbls>
        <c:smooth val="0"/>
        <c:axId val="2130054080"/>
        <c:axId val="2130053664"/>
      </c:lineChart>
      <c:catAx>
        <c:axId val="2130054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53664"/>
        <c:crosses val="autoZero"/>
        <c:auto val="1"/>
        <c:lblAlgn val="ctr"/>
        <c:lblOffset val="100"/>
        <c:noMultiLvlLbl val="0"/>
      </c:catAx>
      <c:valAx>
        <c:axId val="213005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5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Tables'!$A$39:$A$42</c:f>
              <c:strCache>
                <c:ptCount val="3"/>
                <c:pt idx="0">
                  <c:v>Adolescent 0-30</c:v>
                </c:pt>
                <c:pt idx="1">
                  <c:v>Middle Age 31-54</c:v>
                </c:pt>
                <c:pt idx="2">
                  <c:v>Old 55+</c:v>
                </c:pt>
              </c:strCache>
            </c:strRef>
          </c:cat>
          <c:val>
            <c:numRef>
              <c:f>'Pivot Tables'!$B$39:$B$42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D4F-4224-A6FC-5C1FABB8AF9F}"/>
            </c:ext>
          </c:extLst>
        </c:ser>
        <c:ser>
          <c:idx val="1"/>
          <c:order val="1"/>
          <c:tx>
            <c:strRef>
              <c:f>'Pivot Tables'!$C$37:$C$38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Tables'!$A$39:$A$42</c:f>
              <c:strCache>
                <c:ptCount val="3"/>
                <c:pt idx="0">
                  <c:v>Adolescent 0-30</c:v>
                </c:pt>
                <c:pt idx="1">
                  <c:v>Middle Age 31-54</c:v>
                </c:pt>
                <c:pt idx="2">
                  <c:v>Old 55+</c:v>
                </c:pt>
              </c:strCache>
            </c:strRef>
          </c:cat>
          <c:val>
            <c:numRef>
              <c:f>'Pivot Tables'!$C$39:$C$42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D4F-4224-A6FC-5C1FABB8AF9F}"/>
            </c:ext>
          </c:extLst>
        </c:ser>
        <c:dLbls>
          <c:showLegendKey val="0"/>
          <c:showVal val="0"/>
          <c:showCatName val="0"/>
          <c:showSerName val="0"/>
          <c:showPercent val="0"/>
          <c:showBubbleSize val="0"/>
        </c:dLbls>
        <c:marker val="1"/>
        <c:smooth val="0"/>
        <c:axId val="177568432"/>
        <c:axId val="177567600"/>
      </c:lineChart>
      <c:catAx>
        <c:axId val="17756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7600"/>
        <c:crosses val="autoZero"/>
        <c:auto val="1"/>
        <c:lblAlgn val="ctr"/>
        <c:lblOffset val="100"/>
        <c:noMultiLvlLbl val="0"/>
      </c:catAx>
      <c:valAx>
        <c:axId val="1775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extLst>
            <c:ext xmlns:c16="http://schemas.microsoft.com/office/drawing/2014/chart" uri="{C3380CC4-5D6E-409C-BE32-E72D297353CC}">
              <c16:uniqueId val="{00000003-AE66-4CC6-933B-F1E6498FEEB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extLst>
            <c:ext xmlns:c16="http://schemas.microsoft.com/office/drawing/2014/chart" uri="{C3380CC4-5D6E-409C-BE32-E72D297353CC}">
              <c16:uniqueId val="{00000005-AE66-4CC6-933B-F1E6498FEEB7}"/>
            </c:ext>
          </c:extLst>
        </c:ser>
        <c:dLbls>
          <c:showLegendKey val="0"/>
          <c:showVal val="0"/>
          <c:showCatName val="0"/>
          <c:showSerName val="0"/>
          <c:showPercent val="0"/>
          <c:showBubbleSize val="0"/>
        </c:dLbls>
        <c:gapWidth val="219"/>
        <c:overlap val="-27"/>
        <c:axId val="196863712"/>
        <c:axId val="196864128"/>
      </c:barChart>
      <c:catAx>
        <c:axId val="19686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4128"/>
        <c:crosses val="autoZero"/>
        <c:auto val="1"/>
        <c:lblAlgn val="ctr"/>
        <c:lblOffset val="100"/>
        <c:noMultiLvlLbl val="0"/>
      </c:catAx>
      <c:valAx>
        <c:axId val="19686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63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Excel.xlsx]Pivot Tables!PivotTable2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55-4CA4-9F23-1F6F45678084}"/>
            </c:ext>
          </c:extLst>
        </c:ser>
        <c:ser>
          <c:idx val="1"/>
          <c:order val="1"/>
          <c:tx>
            <c:strRef>
              <c:f>'Pivot Tables'!$C$21:$C$22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55-4CA4-9F23-1F6F45678084}"/>
            </c:ext>
          </c:extLst>
        </c:ser>
        <c:dLbls>
          <c:dLblPos val="ctr"/>
          <c:showLegendKey val="0"/>
          <c:showVal val="1"/>
          <c:showCatName val="0"/>
          <c:showSerName val="0"/>
          <c:showPercent val="0"/>
          <c:showBubbleSize val="0"/>
        </c:dLbls>
        <c:marker val="1"/>
        <c:smooth val="0"/>
        <c:axId val="2130054080"/>
        <c:axId val="2130053664"/>
      </c:lineChart>
      <c:catAx>
        <c:axId val="21300540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0053664"/>
        <c:crosses val="autoZero"/>
        <c:auto val="1"/>
        <c:lblAlgn val="ctr"/>
        <c:lblOffset val="100"/>
        <c:noMultiLvlLbl val="0"/>
      </c:catAx>
      <c:valAx>
        <c:axId val="21300536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30054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Excel.xlsx]Pivot Tables!PivotTable3</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Tables'!$B$37:$B$38</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Tables'!$A$39:$A$42</c:f>
              <c:strCache>
                <c:ptCount val="3"/>
                <c:pt idx="0">
                  <c:v>Adolescent 0-30</c:v>
                </c:pt>
                <c:pt idx="1">
                  <c:v>Middle Age 31-54</c:v>
                </c:pt>
                <c:pt idx="2">
                  <c:v>Old 55+</c:v>
                </c:pt>
              </c:strCache>
            </c:strRef>
          </c:cat>
          <c:val>
            <c:numRef>
              <c:f>'Pivot Tables'!$B$39:$B$42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68F1-4969-A7BF-59F0E23C6A10}"/>
            </c:ext>
          </c:extLst>
        </c:ser>
        <c:ser>
          <c:idx val="1"/>
          <c:order val="1"/>
          <c:tx>
            <c:strRef>
              <c:f>'Pivot Tables'!$C$37:$C$38</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Tables'!$A$39:$A$42</c:f>
              <c:strCache>
                <c:ptCount val="3"/>
                <c:pt idx="0">
                  <c:v>Adolescent 0-30</c:v>
                </c:pt>
                <c:pt idx="1">
                  <c:v>Middle Age 31-54</c:v>
                </c:pt>
                <c:pt idx="2">
                  <c:v>Old 55+</c:v>
                </c:pt>
              </c:strCache>
            </c:strRef>
          </c:cat>
          <c:val>
            <c:numRef>
              <c:f>'Pivot Tables'!$C$39:$C$42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68F1-4969-A7BF-59F0E23C6A10}"/>
            </c:ext>
          </c:extLst>
        </c:ser>
        <c:dLbls>
          <c:showLegendKey val="0"/>
          <c:showVal val="0"/>
          <c:showCatName val="0"/>
          <c:showSerName val="0"/>
          <c:showPercent val="0"/>
          <c:showBubbleSize val="0"/>
        </c:dLbls>
        <c:marker val="1"/>
        <c:smooth val="0"/>
        <c:axId val="177568432"/>
        <c:axId val="177567600"/>
      </c:lineChart>
      <c:catAx>
        <c:axId val="177568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7567600"/>
        <c:crosses val="autoZero"/>
        <c:auto val="1"/>
        <c:lblAlgn val="ctr"/>
        <c:lblOffset val="100"/>
        <c:noMultiLvlLbl val="0"/>
      </c:catAx>
      <c:valAx>
        <c:axId val="1775676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504825</xdr:colOff>
      <xdr:row>0</xdr:row>
      <xdr:rowOff>128587</xdr:rowOff>
    </xdr:from>
    <xdr:to>
      <xdr:col>12</xdr:col>
      <xdr:colOff>200025</xdr:colOff>
      <xdr:row>15</xdr:row>
      <xdr:rowOff>14287</xdr:rowOff>
    </xdr:to>
    <xdr:graphicFrame macro="">
      <xdr:nvGraphicFramePr>
        <xdr:cNvPr id="2" name="Chart 1">
          <a:extLst>
            <a:ext uri="{FF2B5EF4-FFF2-40B4-BE49-F238E27FC236}">
              <a16:creationId xmlns:a16="http://schemas.microsoft.com/office/drawing/2014/main" id="{D24F8DA6-C825-E669-FE4B-DE89BD2ED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16</xdr:row>
      <xdr:rowOff>128587</xdr:rowOff>
    </xdr:from>
    <xdr:to>
      <xdr:col>12</xdr:col>
      <xdr:colOff>152400</xdr:colOff>
      <xdr:row>31</xdr:row>
      <xdr:rowOff>14287</xdr:rowOff>
    </xdr:to>
    <xdr:graphicFrame macro="">
      <xdr:nvGraphicFramePr>
        <xdr:cNvPr id="3" name="Chart 2">
          <a:extLst>
            <a:ext uri="{FF2B5EF4-FFF2-40B4-BE49-F238E27FC236}">
              <a16:creationId xmlns:a16="http://schemas.microsoft.com/office/drawing/2014/main" id="{6D3015EF-06E4-BE93-5DB8-351464DCA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523875</xdr:colOff>
      <xdr:row>32</xdr:row>
      <xdr:rowOff>166687</xdr:rowOff>
    </xdr:from>
    <xdr:to>
      <xdr:col>13</xdr:col>
      <xdr:colOff>219075</xdr:colOff>
      <xdr:row>47</xdr:row>
      <xdr:rowOff>52387</xdr:rowOff>
    </xdr:to>
    <xdr:graphicFrame macro="">
      <xdr:nvGraphicFramePr>
        <xdr:cNvPr id="5" name="Chart 4">
          <a:extLst>
            <a:ext uri="{FF2B5EF4-FFF2-40B4-BE49-F238E27FC236}">
              <a16:creationId xmlns:a16="http://schemas.microsoft.com/office/drawing/2014/main" id="{3A736820-FA0F-02F9-FE4C-0508C3738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6</xdr:row>
      <xdr:rowOff>9525</xdr:rowOff>
    </xdr:from>
    <xdr:to>
      <xdr:col>8</xdr:col>
      <xdr:colOff>371475</xdr:colOff>
      <xdr:row>21</xdr:row>
      <xdr:rowOff>161925</xdr:rowOff>
    </xdr:to>
    <xdr:graphicFrame macro="">
      <xdr:nvGraphicFramePr>
        <xdr:cNvPr id="2" name="Chart 1">
          <a:extLst>
            <a:ext uri="{FF2B5EF4-FFF2-40B4-BE49-F238E27FC236}">
              <a16:creationId xmlns:a16="http://schemas.microsoft.com/office/drawing/2014/main" id="{5A7FDCC8-583E-4546-B22F-72D8C88BC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600076</xdr:colOff>
      <xdr:row>21</xdr:row>
      <xdr:rowOff>142875</xdr:rowOff>
    </xdr:from>
    <xdr:to>
      <xdr:col>15</xdr:col>
      <xdr:colOff>0</xdr:colOff>
      <xdr:row>34</xdr:row>
      <xdr:rowOff>161925</xdr:rowOff>
    </xdr:to>
    <xdr:graphicFrame macro="">
      <xdr:nvGraphicFramePr>
        <xdr:cNvPr id="3" name="Chart 2">
          <a:extLst>
            <a:ext uri="{FF2B5EF4-FFF2-40B4-BE49-F238E27FC236}">
              <a16:creationId xmlns:a16="http://schemas.microsoft.com/office/drawing/2014/main" id="{1F0D98E6-4C02-4915-B3B3-812B5A8FF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371475</xdr:colOff>
      <xdr:row>6</xdr:row>
      <xdr:rowOff>19050</xdr:rowOff>
    </xdr:from>
    <xdr:to>
      <xdr:col>15</xdr:col>
      <xdr:colOff>0</xdr:colOff>
      <xdr:row>21</xdr:row>
      <xdr:rowOff>142875</xdr:rowOff>
    </xdr:to>
    <xdr:graphicFrame macro="">
      <xdr:nvGraphicFramePr>
        <xdr:cNvPr id="4" name="Chart 3">
          <a:extLst>
            <a:ext uri="{FF2B5EF4-FFF2-40B4-BE49-F238E27FC236}">
              <a16:creationId xmlns:a16="http://schemas.microsoft.com/office/drawing/2014/main" id="{4C97B74B-A1EF-4333-8E77-A4E91657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9526</xdr:rowOff>
    </xdr:from>
    <xdr:to>
      <xdr:col>3</xdr:col>
      <xdr:colOff>0</xdr:colOff>
      <xdr:row>10</xdr:row>
      <xdr:rowOff>123826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5651312-9779-1956-B706-DEB66697198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52526"/>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133351</xdr:rowOff>
    </xdr:from>
    <xdr:to>
      <xdr:col>3</xdr:col>
      <xdr:colOff>0</xdr:colOff>
      <xdr:row>25</xdr:row>
      <xdr:rowOff>171450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A08C98B-9143-81CE-94E4-66444A0A21C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81351"/>
              <a:ext cx="182880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123826</xdr:rowOff>
    </xdr:from>
    <xdr:to>
      <xdr:col>3</xdr:col>
      <xdr:colOff>0</xdr:colOff>
      <xdr:row>16</xdr:row>
      <xdr:rowOff>142875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F6D8072-835F-52DA-8859-277833728C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8826"/>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152400</xdr:rowOff>
    </xdr:from>
    <xdr:to>
      <xdr:col>3</xdr:col>
      <xdr:colOff>0</xdr:colOff>
      <xdr:row>34</xdr:row>
      <xdr:rowOff>161925</xdr:rowOff>
    </xdr:to>
    <mc:AlternateContent xmlns:mc="http://schemas.openxmlformats.org/markup-compatibility/2006" xmlns:a14="http://schemas.microsoft.com/office/drawing/2010/main">
      <mc:Choice Requires="a14">
        <xdr:graphicFrame macro="">
          <xdr:nvGraphicFramePr>
            <xdr:cNvPr id="8" name="Cars">
              <a:extLst>
                <a:ext uri="{FF2B5EF4-FFF2-40B4-BE49-F238E27FC236}">
                  <a16:creationId xmlns:a16="http://schemas.microsoft.com/office/drawing/2014/main" id="{50BB72FF-9A9C-70F4-3AF5-AFC3EF33CF89}"/>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0" y="4914900"/>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Nguyen" refreshedDate="44873.445490625003" createdVersion="8" refreshedVersion="8" minRefreshableVersion="3" recordCount="1000" xr:uid="{3642843F-4C02-45B4-A469-25EE90FD6ED1}">
  <cacheSource type="worksheet">
    <worksheetSource ref="A1:N1001" sheet="Bike Sales(Cleaned Version)"/>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642169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0"/>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0"/>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0"/>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0"/>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0"/>
    <x v="1"/>
  </r>
  <r>
    <n v="12212"/>
    <x v="0"/>
    <x v="0"/>
    <n v="10000"/>
    <n v="0"/>
    <x v="4"/>
    <s v="Manual"/>
    <s v="Yes"/>
    <x v="0"/>
    <x v="0"/>
    <x v="0"/>
    <n v="37"/>
    <x v="0"/>
    <x v="1"/>
  </r>
  <r>
    <n v="25529"/>
    <x v="1"/>
    <x v="1"/>
    <n v="10000"/>
    <n v="1"/>
    <x v="4"/>
    <s v="Manual"/>
    <s v="Yes"/>
    <x v="0"/>
    <x v="0"/>
    <x v="0"/>
    <n v="44"/>
    <x v="0"/>
    <x v="0"/>
  </r>
  <r>
    <n v="22170"/>
    <x v="0"/>
    <x v="0"/>
    <n v="30000"/>
    <n v="3"/>
    <x v="1"/>
    <s v="Clerical"/>
    <s v="No"/>
    <x v="2"/>
    <x v="3"/>
    <x v="1"/>
    <n v="55"/>
    <x v="0"/>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0"/>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0"/>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0"/>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0"/>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0"/>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0"/>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0"/>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0"/>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0"/>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0"/>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0"/>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0"/>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6FB01D-5EC9-46EB-A586-C41F5999EE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sortType="ascending">
      <items count="7">
        <item m="1" x="3"/>
        <item x="2"/>
        <item m="1" x="4"/>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21149-525C-4ADE-A0C1-E5EB2453A5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1D359-9762-4DF9-A505-9F90B00159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98B5E7C-27C9-4F70-A5AC-895CD6C0AA13}" sourceName="Marital Status">
  <pivotTables>
    <pivotTable tabId="3" name="PivotTable1"/>
    <pivotTable tabId="3" name="PivotTable2"/>
    <pivotTable tabId="3" name="PivotTable3"/>
  </pivotTables>
  <data>
    <tabular pivotCacheId="16421693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D269947-576F-4A73-9992-F86D540AD00C}" sourceName="Education">
  <pivotTables>
    <pivotTable tabId="3" name="PivotTable1"/>
    <pivotTable tabId="3" name="PivotTable2"/>
    <pivotTable tabId="3" name="PivotTable3"/>
  </pivotTables>
  <data>
    <tabular pivotCacheId="16421693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8EF8CB-35AC-493C-90F7-7EBF8C4F1623}" sourceName="Region">
  <pivotTables>
    <pivotTable tabId="3" name="PivotTable1"/>
    <pivotTable tabId="3" name="PivotTable2"/>
    <pivotTable tabId="3" name="PivotTable3"/>
  </pivotTables>
  <data>
    <tabular pivotCacheId="164216938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A47AF392-D6EE-4CB8-A4D9-25A78144842B}" sourceName="Cars">
  <pivotTables>
    <pivotTable tabId="3" name="PivotTable3"/>
  </pivotTables>
  <data>
    <tabular pivotCacheId="1642169382">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0C2B950-EEFA-49AD-B67C-15EA0F8EDE10}" cache="Slicer_Marital_Status" caption="Marital Status" rowHeight="241300"/>
  <slicer name="Education" xr10:uid="{07114B90-0F00-4E18-A2DE-B2E02ADB7FF7}" cache="Slicer_Education" caption="Education" rowHeight="241300"/>
  <slicer name="Region" xr10:uid="{9734DBA6-483F-41FC-B6BD-D3839E537ED5}" cache="Slicer_Region" caption="Region" rowHeight="241300"/>
  <slicer name="Cars" xr10:uid="{939D5C31-738C-4349-A270-19C6951C32FF}" cache="Slicer_Cars" caption="Car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0" workbookViewId="0">
      <selection sqref="A1:M1027"/>
    </sheetView>
  </sheetViews>
  <sheetFormatPr defaultColWidth="11.85546875" defaultRowHeight="15" x14ac:dyDescent="0.25"/>
  <cols>
    <col min="2" max="2" width="17" customWidth="1"/>
    <col min="6" max="6" width="19.42578125" customWidth="1"/>
    <col min="7" max="7" width="19.28515625" customWidth="1"/>
    <col min="10" max="10" width="22.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BD2A-4FF0-4EA2-AE01-2525B9AC99C5}">
  <dimension ref="A1:N1001"/>
  <sheetViews>
    <sheetView workbookViewId="0">
      <selection activeCell="M2" sqref="M2:M1001"/>
    </sheetView>
  </sheetViews>
  <sheetFormatPr defaultRowHeight="15" x14ac:dyDescent="0.25"/>
  <cols>
    <col min="2" max="2" width="17.5703125" customWidth="1"/>
    <col min="4" max="4" width="16" style="3" customWidth="1"/>
    <col min="6" max="6" width="17.7109375" customWidth="1"/>
    <col min="7" max="7" width="19.140625" customWidth="1"/>
    <col min="8" max="8" width="14.7109375" customWidth="1"/>
    <col min="10" max="10" width="22.7109375" customWidth="1"/>
    <col min="13" max="13" width="15.140625" customWidth="1"/>
    <col min="14" max="14" width="17"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 "Old 55+",            IF(L2&gt;=31, "Middle Age 31-54",         IF(L2&lt;31,"Adolescent 0-30", "Invalid")))</f>
        <v>Middle Age 31-54</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 "Old 55+",            IF(L3&gt;=31, "Middle Age 31-54",         IF(L3&lt;31,"Adolescent 0-30", "Invalid")))</f>
        <v>Middle Age 31-54</v>
      </c>
      <c r="N3" t="s">
        <v>18</v>
      </c>
    </row>
    <row r="4" spans="1:14" x14ac:dyDescent="0.25">
      <c r="A4">
        <v>14177</v>
      </c>
      <c r="B4" t="s">
        <v>36</v>
      </c>
      <c r="C4" t="s">
        <v>39</v>
      </c>
      <c r="D4" s="3">
        <v>80000</v>
      </c>
      <c r="E4">
        <v>5</v>
      </c>
      <c r="F4" t="s">
        <v>19</v>
      </c>
      <c r="G4" t="s">
        <v>21</v>
      </c>
      <c r="H4" t="s">
        <v>18</v>
      </c>
      <c r="I4">
        <v>2</v>
      </c>
      <c r="J4" t="s">
        <v>22</v>
      </c>
      <c r="K4" t="s">
        <v>17</v>
      </c>
      <c r="L4">
        <v>60</v>
      </c>
      <c r="M4" t="str">
        <f t="shared" si="0"/>
        <v>Old 55+</v>
      </c>
      <c r="N4" t="s">
        <v>18</v>
      </c>
    </row>
    <row r="5" spans="1:14" x14ac:dyDescent="0.25">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 31-54</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Middle Age 31-54</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 Age 31-54</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 31-54</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 31-54</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 31-54</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 31-54</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 "Old 55+",            IF(L67&gt;=31, "Middle Age 31-54",         IF(L67&lt;31,"Adolescent 0-30", "Invalid")))</f>
        <v>Old 55+</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 31-54</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 0-30</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 Age 31-54</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 55+</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 31-54</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 "Old 55+",            IF(L131&gt;=31, "Middle Age 31-54",         IF(L131&lt;31,"Adolescent 0-30", "Invalid")))</f>
        <v>Middle Age 31-54</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 Age 31-54</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 31-54</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 31-54</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Middle Age 31-54</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 Age 31-54</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 31-54</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 Age 31-54</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IF(L195&gt;55, "Old 55+",            IF(L195&gt;=31, "Middle Age 31-54",         IF(L195&lt;31,"Adolescent 0-30", "Invalid")))</f>
        <v>Middle Age 31-54</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 31-54</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 31-54</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 31-54</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 31-54</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 31-54</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 31-54</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 Age 31-54</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 "Old 55+",            IF(L259&gt;=31, "Middle Age 31-54",         IF(L259&lt;31,"Adolescent 0-30", "Invalid")))</f>
        <v>Middle Age 31-54</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 31-54</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 31-54</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 31-54</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 31-54</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 "Old 55+",            IF(L323&gt;=31, "Middle Age 31-54",         IF(L323&lt;31,"Adolescent 0-30", "Invalid")))</f>
        <v>Middle Age 31-54</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 31-54</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 31-54</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 0-30</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 31-54</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 0-30</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 31-54</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 "Old 55+",            IF(L387&gt;=31, "Middle Age 31-54",         IF(L387&lt;31,"Adolescent 0-30", "Invalid")))</f>
        <v>Middle Age 31-54</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 31-54</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 31-54</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 31-54</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 Age 31-54</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 31-54</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 31-54</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 31-54</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 "Old 55+",            IF(L451&gt;=31, "Middle Age 31-54",         IF(L451&lt;31,"Adolescent 0-30", "Invalid")))</f>
        <v>Middle Age 31-54</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 31-54</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 31-54</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IF(L515&gt;55, "Old 55+",            IF(L515&gt;=31, "Middle Age 31-54",         IF(L515&lt;31,"Adolescent 0-30", "Invalid")))</f>
        <v>Old 55+</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 31-54</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 Age 31-54</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 31-54</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 31-54</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 "Old 55+",            IF(L579&gt;=31, "Middle Age 31-54",         IF(L579&lt;31,"Adolescent 0-30", "Invalid")))</f>
        <v>Middle Age 31-54</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 31-54</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 31-54</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 Age 31-54</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IF(L643&gt;55, "Old 55+",            IF(L643&gt;=31, "Middle Age 31-54",         IF(L643&lt;31,"Adolescent 0-30", "Invalid")))</f>
        <v>Old 55+</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 31-54</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IF(L707&gt;55, "Old 55+",            IF(L707&gt;=31, "Middle Age 31-54",         IF(L707&lt;31,"Adolescent 0-30", "Invalid")))</f>
        <v>Old 55+</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Middle Age 31-54</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 31-54</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 "Old 55+",            IF(L771&gt;=31, "Middle Age 31-54",         IF(L771&lt;31,"Adolescent 0-30", "Invalid")))</f>
        <v>Middle Age 31-54</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 31-54</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 31-54</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Middle Age 31-54</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 31-54</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 "Old 55+",            IF(L835&gt;=31, "Middle Age 31-54",         IF(L835&lt;31,"Adolescent 0-30", "Invalid")))</f>
        <v>Middle Age 31-54</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 31-54</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Middle Age 31-54</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Middle Age 31-54</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 "Old 55+",            IF(L899&gt;=31, "Middle Age 31-54",         IF(L899&lt;31,"Adolescent 0-30", "Invalid")))</f>
        <v>Adolescent 0-30</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 31-54</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 31-54</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 31-54</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 "Old 55+",            IF(L963&gt;=31, "Middle Age 31-54",         IF(L963&lt;31,"Adolescent 0-30", "Invalid")))</f>
        <v>Old 55+</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Middle Age 31-54</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 31-54</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 31-54</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 31-54</v>
      </c>
      <c r="N1001" t="s">
        <v>15</v>
      </c>
    </row>
  </sheetData>
  <autoFilter ref="A1:N1001" xr:uid="{7756BD2A-4FF0-4EA2-AE01-2525B9AC99C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463E-8F12-498E-BB25-4B698EB3F271}">
  <dimension ref="A3:D42"/>
  <sheetViews>
    <sheetView tabSelected="1" workbookViewId="0">
      <selection activeCell="B5" sqref="B5:D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53440</v>
      </c>
      <c r="C5" s="6">
        <v>55774.058577405856</v>
      </c>
      <c r="D5" s="6">
        <v>54580.777096114522</v>
      </c>
    </row>
    <row r="6" spans="1:4" x14ac:dyDescent="0.25">
      <c r="A6" s="5" t="s">
        <v>39</v>
      </c>
      <c r="B6" s="6">
        <v>56208.178438661707</v>
      </c>
      <c r="C6" s="6">
        <v>60123.966942148763</v>
      </c>
      <c r="D6" s="6">
        <v>58062.62230919765</v>
      </c>
    </row>
    <row r="7" spans="1:4" x14ac:dyDescent="0.25">
      <c r="A7" s="5" t="s">
        <v>42</v>
      </c>
      <c r="B7" s="6">
        <v>54874.759152215796</v>
      </c>
      <c r="C7" s="6">
        <v>57962.577962577961</v>
      </c>
      <c r="D7" s="6">
        <v>56360</v>
      </c>
    </row>
    <row r="21" spans="1:4" x14ac:dyDescent="0.25">
      <c r="A21" s="4" t="s">
        <v>45</v>
      </c>
      <c r="B21" s="4" t="s">
        <v>44</v>
      </c>
    </row>
    <row r="22" spans="1:4" x14ac:dyDescent="0.25">
      <c r="A22" s="4" t="s">
        <v>41</v>
      </c>
      <c r="B22" t="s">
        <v>18</v>
      </c>
      <c r="C22" t="s">
        <v>15</v>
      </c>
      <c r="D22" t="s">
        <v>42</v>
      </c>
    </row>
    <row r="23" spans="1:4" x14ac:dyDescent="0.25">
      <c r="A23" s="5" t="s">
        <v>16</v>
      </c>
      <c r="B23">
        <v>166</v>
      </c>
      <c r="C23">
        <v>200</v>
      </c>
      <c r="D23">
        <v>366</v>
      </c>
    </row>
    <row r="24" spans="1:4" x14ac:dyDescent="0.25">
      <c r="A24" s="5" t="s">
        <v>26</v>
      </c>
      <c r="B24">
        <v>92</v>
      </c>
      <c r="C24">
        <v>77</v>
      </c>
      <c r="D24">
        <v>169</v>
      </c>
    </row>
    <row r="25" spans="1:4" x14ac:dyDescent="0.25">
      <c r="A25" s="5" t="s">
        <v>22</v>
      </c>
      <c r="B25">
        <v>67</v>
      </c>
      <c r="C25">
        <v>95</v>
      </c>
      <c r="D25">
        <v>162</v>
      </c>
    </row>
    <row r="26" spans="1:4" x14ac:dyDescent="0.25">
      <c r="A26" s="5" t="s">
        <v>23</v>
      </c>
      <c r="B26">
        <v>116</v>
      </c>
      <c r="C26">
        <v>76</v>
      </c>
      <c r="D26">
        <v>192</v>
      </c>
    </row>
    <row r="27" spans="1:4" x14ac:dyDescent="0.25">
      <c r="A27" s="5" t="s">
        <v>46</v>
      </c>
      <c r="B27">
        <v>78</v>
      </c>
      <c r="C27">
        <v>33</v>
      </c>
      <c r="D27">
        <v>111</v>
      </c>
    </row>
    <row r="28" spans="1:4" x14ac:dyDescent="0.25">
      <c r="A28" s="5" t="s">
        <v>42</v>
      </c>
      <c r="B28">
        <v>519</v>
      </c>
      <c r="C28">
        <v>481</v>
      </c>
      <c r="D28">
        <v>1000</v>
      </c>
    </row>
    <row r="37" spans="1:4" x14ac:dyDescent="0.25">
      <c r="A37" s="4" t="s">
        <v>45</v>
      </c>
      <c r="B37" s="4" t="s">
        <v>44</v>
      </c>
    </row>
    <row r="38" spans="1:4" x14ac:dyDescent="0.25">
      <c r="A38" s="4" t="s">
        <v>41</v>
      </c>
      <c r="B38" t="s">
        <v>18</v>
      </c>
      <c r="C38" t="s">
        <v>15</v>
      </c>
      <c r="D38" t="s">
        <v>42</v>
      </c>
    </row>
    <row r="39" spans="1:4" x14ac:dyDescent="0.25">
      <c r="A39" s="5" t="s">
        <v>47</v>
      </c>
      <c r="B39">
        <v>71</v>
      </c>
      <c r="C39">
        <v>39</v>
      </c>
      <c r="D39">
        <v>110</v>
      </c>
    </row>
    <row r="40" spans="1:4" x14ac:dyDescent="0.25">
      <c r="A40" s="5" t="s">
        <v>48</v>
      </c>
      <c r="B40">
        <v>331</v>
      </c>
      <c r="C40">
        <v>388</v>
      </c>
      <c r="D40">
        <v>719</v>
      </c>
    </row>
    <row r="41" spans="1:4" x14ac:dyDescent="0.25">
      <c r="A41" s="5" t="s">
        <v>49</v>
      </c>
      <c r="B41">
        <v>117</v>
      </c>
      <c r="C41">
        <v>54</v>
      </c>
      <c r="D41">
        <v>171</v>
      </c>
    </row>
    <row r="42" spans="1:4" x14ac:dyDescent="0.25">
      <c r="A42" s="5" t="s">
        <v>42</v>
      </c>
      <c r="B42">
        <v>519</v>
      </c>
      <c r="C42">
        <v>481</v>
      </c>
      <c r="D4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52A1-87AD-42F3-ADDA-68EE43E8FE87}">
  <dimension ref="A1:O6"/>
  <sheetViews>
    <sheetView showGridLines="0" workbookViewId="0">
      <selection activeCell="S13" sqref="S13"/>
    </sheetView>
  </sheetViews>
  <sheetFormatPr defaultRowHeight="15" x14ac:dyDescent="0.25"/>
  <sheetData>
    <row r="1" spans="1:15" x14ac:dyDescent="0.25">
      <c r="A1" s="7"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vt:lpstr>
      <vt:lpstr>Bike Sales(Cleaned Version)</vt:lpstr>
      <vt:lpstr>Pivot Tables</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Nguyen</dc:creator>
  <cp:lastModifiedBy>anthony dinh</cp:lastModifiedBy>
  <dcterms:created xsi:type="dcterms:W3CDTF">2022-03-18T02:50:57Z</dcterms:created>
  <dcterms:modified xsi:type="dcterms:W3CDTF">2026-05-26T16:44:21Z</dcterms:modified>
</cp:coreProperties>
</file>